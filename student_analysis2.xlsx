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8_{9E63D427-BA6E-4552-8FD7-6660A6A37D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 Data" sheetId="1" r:id="rId1"/>
    <sheet name="Sorted by Performance" sheetId="2" r:id="rId2"/>
    <sheet name="Pivot - Department" sheetId="3" r:id="rId3"/>
  </sheets>
  <calcPr calcId="191029"/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<sst xmlns="http://schemas.openxmlformats.org/spreadsheetml/2006/main" count="63" uniqueCount="25">
  <si>
    <t>student_id</t>
  </si>
  <si>
    <t>name</t>
  </si>
  <si>
    <t>department</t>
  </si>
  <si>
    <t>math</t>
  </si>
  <si>
    <t>science</t>
  </si>
  <si>
    <t>programming</t>
  </si>
  <si>
    <t>attendance</t>
  </si>
  <si>
    <t>Average Marks</t>
  </si>
  <si>
    <t>Amit</t>
  </si>
  <si>
    <t>CS</t>
  </si>
  <si>
    <t>Riya</t>
  </si>
  <si>
    <t>Karan</t>
  </si>
  <si>
    <t>IT</t>
  </si>
  <si>
    <t>Pooja</t>
  </si>
  <si>
    <t>Rahul</t>
  </si>
  <si>
    <t>Sneha</t>
  </si>
  <si>
    <t>Vikram</t>
  </si>
  <si>
    <t>Priya</t>
  </si>
  <si>
    <t>Arjun</t>
  </si>
  <si>
    <t>Neha</t>
  </si>
  <si>
    <t>Department</t>
  </si>
  <si>
    <t>Avg Math</t>
  </si>
  <si>
    <t>Avg Science</t>
  </si>
  <si>
    <t>Avg Programming</t>
  </si>
  <si>
    <t>Overall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</si>
</sst>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4" x14ac:dyDescent="0.3"/>
  <cols>
    <col min="1" max="2" width="12" customWidth="1"/>
    <col min="3" max="3" width="14" customWidth="1"/>
    <col min="4" max="4" width="8" customWidth="1"/>
    <col min="5" max="5" width="10" customWidth="1"/>
    <col min="6" max="6" width="14" customWidth="1"/>
    <col min="7" max="7" width="12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>
        <v>78</v>
      </c>
      <c r="E2" s="2">
        <v>85</v>
      </c>
      <c r="F2" s="2">
        <v>90</v>
      </c>
      <c r="G2" s="2">
        <v>92</v>
      </c>
      <c r="H2" s="2">
        <f t="shared" ref="H2:H11" si="0">AVERAGE(D2:F2)</f>
        <v>84.333333333333329</v>
      </c>
    </row>
    <row r="3" spans="1:8" x14ac:dyDescent="0.3">
      <c r="A3" s="2">
        <v>2</v>
      </c>
      <c r="B3" s="2" t="s">
        <v>10</v>
      </c>
      <c r="C3" s="2" t="s">
        <v>9</v>
      </c>
      <c r="D3" s="2">
        <v>88</v>
      </c>
      <c r="E3" s="2">
        <v>79</v>
      </c>
      <c r="F3" s="2">
        <v>85</v>
      </c>
      <c r="G3" s="2">
        <v>90</v>
      </c>
      <c r="H3" s="2">
        <f t="shared" si="0"/>
        <v>84</v>
      </c>
    </row>
    <row r="4" spans="1:8" x14ac:dyDescent="0.3">
      <c r="A4" s="2">
        <v>3</v>
      </c>
      <c r="B4" s="2" t="s">
        <v>11</v>
      </c>
      <c r="C4" s="2" t="s">
        <v>12</v>
      </c>
      <c r="D4" s="2">
        <v>65</v>
      </c>
      <c r="E4" s="2">
        <v>70</v>
      </c>
      <c r="F4" s="2">
        <v>72</v>
      </c>
      <c r="G4" s="2">
        <v>80</v>
      </c>
      <c r="H4" s="2">
        <f t="shared" si="0"/>
        <v>69</v>
      </c>
    </row>
    <row r="5" spans="1:8" x14ac:dyDescent="0.3">
      <c r="A5" s="2">
        <v>4</v>
      </c>
      <c r="B5" s="2" t="s">
        <v>13</v>
      </c>
      <c r="C5" s="2" t="s">
        <v>12</v>
      </c>
      <c r="D5" s="2">
        <v>92</v>
      </c>
      <c r="E5" s="2">
        <v>91</v>
      </c>
      <c r="F5" s="2">
        <v>95</v>
      </c>
      <c r="G5" s="2">
        <v>96</v>
      </c>
      <c r="H5" s="2">
        <f t="shared" si="0"/>
        <v>92.666666666666671</v>
      </c>
    </row>
    <row r="6" spans="1:8" x14ac:dyDescent="0.3">
      <c r="A6" s="2">
        <v>5</v>
      </c>
      <c r="B6" s="2" t="s">
        <v>14</v>
      </c>
      <c r="C6" s="2" t="s">
        <v>9</v>
      </c>
      <c r="D6" s="2">
        <v>55</v>
      </c>
      <c r="E6" s="2">
        <v>60</v>
      </c>
      <c r="F6" s="2">
        <v>58</v>
      </c>
      <c r="G6" s="2">
        <v>70</v>
      </c>
      <c r="H6" s="2">
        <f t="shared" si="0"/>
        <v>57.666666666666664</v>
      </c>
    </row>
    <row r="7" spans="1:8" x14ac:dyDescent="0.3">
      <c r="A7" s="2">
        <v>6</v>
      </c>
      <c r="B7" s="2" t="s">
        <v>15</v>
      </c>
      <c r="C7" s="2" t="s">
        <v>12</v>
      </c>
      <c r="D7" s="2">
        <v>80</v>
      </c>
      <c r="E7" s="2">
        <v>75</v>
      </c>
      <c r="F7" s="2">
        <v>88</v>
      </c>
      <c r="G7" s="2">
        <v>85</v>
      </c>
      <c r="H7" s="2">
        <f t="shared" si="0"/>
        <v>81</v>
      </c>
    </row>
    <row r="8" spans="1:8" x14ac:dyDescent="0.3">
      <c r="A8" s="2">
        <v>7</v>
      </c>
      <c r="B8" s="2" t="s">
        <v>16</v>
      </c>
      <c r="C8" s="2" t="s">
        <v>9</v>
      </c>
      <c r="D8" s="2">
        <v>70</v>
      </c>
      <c r="E8" s="2">
        <v>68</v>
      </c>
      <c r="F8" s="2">
        <v>74</v>
      </c>
      <c r="G8" s="2">
        <v>78</v>
      </c>
      <c r="H8" s="2">
        <f t="shared" si="0"/>
        <v>70.666666666666671</v>
      </c>
    </row>
    <row r="9" spans="1:8" x14ac:dyDescent="0.3">
      <c r="A9" s="2">
        <v>8</v>
      </c>
      <c r="B9" s="2" t="s">
        <v>17</v>
      </c>
      <c r="C9" s="2" t="s">
        <v>12</v>
      </c>
      <c r="D9" s="2">
        <v>90</v>
      </c>
      <c r="E9" s="2">
        <v>88</v>
      </c>
      <c r="F9" s="2">
        <v>92</v>
      </c>
      <c r="G9" s="2">
        <v>94</v>
      </c>
      <c r="H9" s="2">
        <f t="shared" si="0"/>
        <v>90</v>
      </c>
    </row>
    <row r="10" spans="1:8" x14ac:dyDescent="0.3">
      <c r="A10" s="2">
        <v>9</v>
      </c>
      <c r="B10" s="2" t="s">
        <v>18</v>
      </c>
      <c r="C10" s="2" t="s">
        <v>9</v>
      </c>
      <c r="D10" s="2">
        <v>60</v>
      </c>
      <c r="E10" s="2">
        <v>65</v>
      </c>
      <c r="F10" s="2">
        <v>63</v>
      </c>
      <c r="G10" s="2">
        <v>72</v>
      </c>
      <c r="H10" s="2">
        <f t="shared" si="0"/>
        <v>62.666666666666664</v>
      </c>
    </row>
    <row r="11" spans="1:8" x14ac:dyDescent="0.3">
      <c r="A11" s="2">
        <v>10</v>
      </c>
      <c r="B11" s="2" t="s">
        <v>19</v>
      </c>
      <c r="C11" s="2" t="s">
        <v>12</v>
      </c>
      <c r="D11" s="2">
        <v>85</v>
      </c>
      <c r="E11" s="2">
        <v>82</v>
      </c>
      <c r="F11" s="2">
        <v>87</v>
      </c>
      <c r="G11" s="2">
        <v>89</v>
      </c>
      <c r="H11" s="2">
        <f t="shared" si="0"/>
        <v>84.666666666666671</v>
      </c>
    </row>
  </sheetData>
  <conditionalFormatting sqref="D2:F11">
    <cfRule type="cellIs" dxfId="0" priority="1" operator="lessThan">
      <formula>60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4" x14ac:dyDescent="0.3"/>
  <cols>
    <col min="1" max="2" width="12" customWidth="1"/>
    <col min="3" max="3" width="14" customWidth="1"/>
    <col min="4" max="4" width="8" customWidth="1"/>
    <col min="5" max="5" width="10" customWidth="1"/>
    <col min="6" max="6" width="14" customWidth="1"/>
    <col min="7" max="7" width="12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</v>
      </c>
      <c r="B2" s="2" t="s">
        <v>13</v>
      </c>
      <c r="C2" s="2" t="s">
        <v>12</v>
      </c>
      <c r="D2" s="2">
        <v>92</v>
      </c>
      <c r="E2" s="2">
        <v>91</v>
      </c>
      <c r="F2" s="2">
        <v>95</v>
      </c>
      <c r="G2" s="2">
        <v>96</v>
      </c>
      <c r="H2" s="2">
        <v>92.67</v>
      </c>
    </row>
    <row r="3" spans="1:8" x14ac:dyDescent="0.3">
      <c r="A3" s="2">
        <v>8</v>
      </c>
      <c r="B3" s="2" t="s">
        <v>17</v>
      </c>
      <c r="C3" s="2" t="s">
        <v>12</v>
      </c>
      <c r="D3" s="2">
        <v>90</v>
      </c>
      <c r="E3" s="2">
        <v>88</v>
      </c>
      <c r="F3" s="2">
        <v>92</v>
      </c>
      <c r="G3" s="2">
        <v>94</v>
      </c>
      <c r="H3" s="2">
        <v>90</v>
      </c>
    </row>
    <row r="4" spans="1:8" x14ac:dyDescent="0.3">
      <c r="A4" s="2">
        <v>10</v>
      </c>
      <c r="B4" s="2" t="s">
        <v>19</v>
      </c>
      <c r="C4" s="2" t="s">
        <v>12</v>
      </c>
      <c r="D4" s="2">
        <v>85</v>
      </c>
      <c r="E4" s="2">
        <v>82</v>
      </c>
      <c r="F4" s="2">
        <v>87</v>
      </c>
      <c r="G4" s="2">
        <v>89</v>
      </c>
      <c r="H4" s="2">
        <v>84.67</v>
      </c>
    </row>
    <row r="5" spans="1:8" x14ac:dyDescent="0.3">
      <c r="A5" s="2">
        <v>1</v>
      </c>
      <c r="B5" s="2" t="s">
        <v>8</v>
      </c>
      <c r="C5" s="2" t="s">
        <v>9</v>
      </c>
      <c r="D5" s="2">
        <v>78</v>
      </c>
      <c r="E5" s="2">
        <v>85</v>
      </c>
      <c r="F5" s="2">
        <v>90</v>
      </c>
      <c r="G5" s="2">
        <v>92</v>
      </c>
      <c r="H5" s="2">
        <v>84.33</v>
      </c>
    </row>
    <row r="6" spans="1:8" x14ac:dyDescent="0.3">
      <c r="A6" s="2">
        <v>2</v>
      </c>
      <c r="B6" s="2" t="s">
        <v>10</v>
      </c>
      <c r="C6" s="2" t="s">
        <v>9</v>
      </c>
      <c r="D6" s="2">
        <v>88</v>
      </c>
      <c r="E6" s="2">
        <v>79</v>
      </c>
      <c r="F6" s="2">
        <v>85</v>
      </c>
      <c r="G6" s="2">
        <v>90</v>
      </c>
      <c r="H6" s="2">
        <v>84</v>
      </c>
    </row>
    <row r="7" spans="1:8" x14ac:dyDescent="0.3">
      <c r="A7" s="2">
        <v>6</v>
      </c>
      <c r="B7" s="2" t="s">
        <v>15</v>
      </c>
      <c r="C7" s="2" t="s">
        <v>12</v>
      </c>
      <c r="D7" s="2">
        <v>80</v>
      </c>
      <c r="E7" s="2">
        <v>75</v>
      </c>
      <c r="F7" s="2">
        <v>88</v>
      </c>
      <c r="G7" s="2">
        <v>85</v>
      </c>
      <c r="H7" s="2">
        <v>81</v>
      </c>
    </row>
    <row r="8" spans="1:8" x14ac:dyDescent="0.3">
      <c r="A8" s="2">
        <v>7</v>
      </c>
      <c r="B8" s="2" t="s">
        <v>16</v>
      </c>
      <c r="C8" s="2" t="s">
        <v>9</v>
      </c>
      <c r="D8" s="2">
        <v>70</v>
      </c>
      <c r="E8" s="2">
        <v>68</v>
      </c>
      <c r="F8" s="2">
        <v>74</v>
      </c>
      <c r="G8" s="2">
        <v>78</v>
      </c>
      <c r="H8" s="2">
        <v>70.67</v>
      </c>
    </row>
    <row r="9" spans="1:8" x14ac:dyDescent="0.3">
      <c r="A9" s="2">
        <v>3</v>
      </c>
      <c r="B9" s="2" t="s">
        <v>11</v>
      </c>
      <c r="C9" s="2" t="s">
        <v>12</v>
      </c>
      <c r="D9" s="2">
        <v>65</v>
      </c>
      <c r="E9" s="2">
        <v>70</v>
      </c>
      <c r="F9" s="2">
        <v>72</v>
      </c>
      <c r="G9" s="2">
        <v>80</v>
      </c>
      <c r="H9" s="2">
        <v>69</v>
      </c>
    </row>
    <row r="10" spans="1:8" x14ac:dyDescent="0.3">
      <c r="A10" s="2">
        <v>9</v>
      </c>
      <c r="B10" s="2" t="s">
        <v>18</v>
      </c>
      <c r="C10" s="2" t="s">
        <v>9</v>
      </c>
      <c r="D10" s="2">
        <v>60</v>
      </c>
      <c r="E10" s="2">
        <v>65</v>
      </c>
      <c r="F10" s="2">
        <v>63</v>
      </c>
      <c r="G10" s="2">
        <v>72</v>
      </c>
      <c r="H10" s="2">
        <v>62.67</v>
      </c>
    </row>
    <row r="11" spans="1:8" x14ac:dyDescent="0.3">
      <c r="A11" s="2">
        <v>5</v>
      </c>
      <c r="B11" s="2" t="s">
        <v>14</v>
      </c>
      <c r="C11" s="2" t="s">
        <v>9</v>
      </c>
      <c r="D11" s="2">
        <v>55</v>
      </c>
      <c r="E11" s="2">
        <v>60</v>
      </c>
      <c r="F11" s="2">
        <v>58</v>
      </c>
      <c r="G11" s="2">
        <v>70</v>
      </c>
      <c r="H11" s="2">
        <v>57.67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 x14ac:dyDescent="0.3"/>
  <cols>
    <col min="1" max="1" width="16" customWidth="1"/>
    <col min="2" max="2" width="12" customWidth="1"/>
    <col min="3" max="3" width="14" customWidth="1"/>
    <col min="4" max="4" width="18" customWidth="1"/>
    <col min="5" max="5" width="14" customWidth="1"/>
  </cols>
  <sheetData>
    <row r="1" spans="1:5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3">
      <c r="A2" s="3" t="s">
        <v>9</v>
      </c>
      <c r="B2" s="3">
        <v>70.2</v>
      </c>
      <c r="C2" s="3">
        <v>71.400000000000006</v>
      </c>
      <c r="D2" s="3">
        <v>74</v>
      </c>
      <c r="E2" s="3">
        <v>71.87</v>
      </c>
    </row>
    <row r="3" spans="1:5" x14ac:dyDescent="0.3">
      <c r="A3" s="4" t="s">
        <v>12</v>
      </c>
      <c r="B3" s="4">
        <v>82.4</v>
      </c>
      <c r="C3" s="4">
        <v>81.2</v>
      </c>
      <c r="D3" s="4">
        <v>86.8</v>
      </c>
      <c r="E3" s="4">
        <v>83.47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Sorted by Performance</vt:lpstr>
      <vt:lpstr>Pivot - 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Sanjam Das</cp:lastModifiedBy>
  <dcterms:created xsi:type="dcterms:W3CDTF">2026-04-21T16:15:03Z</dcterms:created>
  <dcterms:modified xsi:type="dcterms:W3CDTF">2026-04-21T16:18:43Z</dcterms:modified>
</cp:coreProperties>
</file>